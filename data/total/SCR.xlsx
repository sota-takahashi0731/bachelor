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\Desktop\解析\data\total\"/>
    </mc:Choice>
  </mc:AlternateContent>
  <xr:revisionPtr revIDLastSave="0" documentId="13_ncr:1_{4DAA331B-8CB6-42D8-833D-7850469DD2A0}" xr6:coauthVersionLast="36" xr6:coauthVersionMax="46" xr10:uidLastSave="{00000000-0000-0000-0000-000000000000}"/>
  <bookViews>
    <workbookView xWindow="0" yWindow="465" windowWidth="10005" windowHeight="16215" xr2:uid="{1A7BC4AD-95F6-4F48-A264-11ED19AEEBF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2" l="1"/>
  <c r="D3" i="2"/>
  <c r="E3" i="2"/>
  <c r="B3" i="2"/>
  <c r="C4" i="2"/>
  <c r="D4" i="2"/>
  <c r="E4" i="2"/>
  <c r="B4" i="2"/>
</calcChain>
</file>

<file path=xl/sharedStrings.xml><?xml version="1.0" encoding="utf-8"?>
<sst xmlns="http://schemas.openxmlformats.org/spreadsheetml/2006/main" count="24" uniqueCount="20">
  <si>
    <t>a1</t>
    <phoneticPr fontId="1"/>
  </si>
  <si>
    <t>a2</t>
    <phoneticPr fontId="1"/>
  </si>
  <si>
    <t>b1</t>
    <phoneticPr fontId="1"/>
  </si>
  <si>
    <t>b2</t>
    <phoneticPr fontId="1"/>
  </si>
  <si>
    <t>E</t>
    <phoneticPr fontId="1"/>
  </si>
  <si>
    <t>F</t>
    <phoneticPr fontId="1"/>
  </si>
  <si>
    <t>G</t>
    <phoneticPr fontId="1"/>
  </si>
  <si>
    <t>H</t>
    <phoneticPr fontId="1"/>
  </si>
  <si>
    <t>I</t>
    <phoneticPr fontId="1"/>
  </si>
  <si>
    <t>J</t>
    <phoneticPr fontId="1"/>
  </si>
  <si>
    <t>K</t>
    <phoneticPr fontId="1"/>
  </si>
  <si>
    <t>task</t>
  </si>
  <si>
    <t>base</t>
  </si>
  <si>
    <t>認知</t>
  </si>
  <si>
    <t>情動</t>
  </si>
  <si>
    <t>認知×情動</t>
  </si>
  <si>
    <t>average</t>
  </si>
  <si>
    <t>SE</t>
  </si>
  <si>
    <t>L</t>
    <phoneticPr fontId="1"/>
  </si>
  <si>
    <t>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</si>
</sst>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  <family val="2"/>
    </font>
    <font>
      <sz val="11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SCR</a:t>
            </a:r>
            <a:r>
              <a:rPr lang="ja-JP" altLang="en-US"/>
              <a:t>検出数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Sheet2!$A$3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Sheet2!$B$2:$E$2</c:f>
              <c:strCache>
                <c:ptCount val="4"/>
                <c:pt idx="0">
                  <c:v>base</c:v>
                </c:pt>
                <c:pt idx="1">
                  <c:v>認知</c:v>
                </c:pt>
                <c:pt idx="2">
                  <c:v>情動</c:v>
                </c:pt>
                <c:pt idx="3">
                  <c:v>認知×情動</c:v>
                </c:pt>
              </c:strCache>
            </c:strRef>
          </c:cat>
          <c:val>
            <c:numRef>
              <c:f>Sheet2!$B$3:$E$3</c:f>
              <c:numCache>
                <c:formatCode>General</c:formatCode>
                <c:ptCount val="4"/>
                <c:pt idx="0">
                  <c:v>3.4285714285714284</c:v>
                </c:pt>
                <c:pt idx="1">
                  <c:v>2</c:v>
                </c:pt>
                <c:pt idx="2">
                  <c:v>13.142857142857142</c:v>
                </c:pt>
                <c:pt idx="3">
                  <c:v>7.7142857142857144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BC-FE4F-84FF-EBABFC1A0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4826368"/>
        <c:axId val="1054804784"/>
      </c:barChart>
      <c:catAx>
        <c:axId val="105482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4804784"/>
        <c:crosses val="autoZero"/>
        <c:auto val="1"/>
        <c:lblAlgn val="ctr"/>
        <c:lblOffset val="100"/>
        <c:noMultiLvlLbl val="0"/>
      </c:catAx>
      <c:valAx>
        <c:axId val="105480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482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Sheet2!$A$3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Sheet2!$B$2:$E$2</c:f>
              <c:strCache>
                <c:ptCount val="4"/>
                <c:pt idx="0">
                  <c:v>base</c:v>
                </c:pt>
                <c:pt idx="1">
                  <c:v>認知</c:v>
                </c:pt>
                <c:pt idx="2">
                  <c:v>情動</c:v>
                </c:pt>
                <c:pt idx="3">
                  <c:v>認知×情動</c:v>
                </c:pt>
              </c:strCache>
            </c:strRef>
          </c:cat>
          <c:val>
            <c:numRef>
              <c:f>Sheet2!$B$3:$E$3</c:f>
              <c:numCache>
                <c:formatCode>General</c:formatCode>
                <c:ptCount val="4"/>
                <c:pt idx="0">
                  <c:v>3.4285714285714284</c:v>
                </c:pt>
                <c:pt idx="1">
                  <c:v>2</c:v>
                </c:pt>
                <c:pt idx="2">
                  <c:v>13.142857142857142</c:v>
                </c:pt>
                <c:pt idx="3">
                  <c:v>7.7142857142857144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4-5748-A290-4EDB1F033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2498975"/>
        <c:axId val="642500623"/>
      </c:barChart>
      <c:catAx>
        <c:axId val="64249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42500623"/>
        <c:crosses val="autoZero"/>
        <c:auto val="1"/>
        <c:lblAlgn val="ctr"/>
        <c:lblOffset val="100"/>
        <c:noMultiLvlLbl val="0"/>
      </c:catAx>
      <c:valAx>
        <c:axId val="64250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42498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5</xdr:row>
      <xdr:rowOff>133350</xdr:rowOff>
    </xdr:from>
    <xdr:to>
      <xdr:col>12</xdr:col>
      <xdr:colOff>0</xdr:colOff>
      <xdr:row>16</xdr:row>
      <xdr:rowOff>82550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34557D6-9275-BC4B-BA84-5FC07CF6C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723900</xdr:colOff>
      <xdr:row>8</xdr:row>
      <xdr:rowOff>241300</xdr:rowOff>
    </xdr:from>
    <xdr:to>
      <xdr:col>5</xdr:col>
      <xdr:colOff>533400</xdr:colOff>
      <xdr:row>19</xdr:row>
      <xdr:rowOff>190500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8B8F0F7-A6AC-EE40-B949-22EA60A9AA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0CBDD-A1A3-E246-8A90-99C778AD8DB7}">
  <dimension ref="A1:E11"/>
  <sheetViews>
    <sheetView tabSelected="1" topLeftCell="A2" workbookViewId="0">
      <selection activeCell="E11" sqref="E11"/>
    </sheetView>
  </sheetViews>
  <sheetFormatPr defaultColWidth="11.5546875" defaultRowHeight="19.5"/>
  <sheetData>
    <row r="1" spans="1:5">
      <c r="B1" t="s">
        <v>0</v>
      </c>
      <c r="C1" t="s">
        <v>0</v>
      </c>
      <c r="D1" t="s">
        <v>1</v>
      </c>
      <c r="E1" t="s">
        <v>1</v>
      </c>
    </row>
    <row r="2" spans="1:5">
      <c r="B2" t="s">
        <v>2</v>
      </c>
      <c r="C2" t="s">
        <v>3</v>
      </c>
      <c r="D2" t="s">
        <v>2</v>
      </c>
      <c r="E2" t="s">
        <v>3</v>
      </c>
    </row>
    <row r="3" spans="1:5">
      <c r="A3" t="s">
        <v>4</v>
      </c>
      <c r="B3" s="1">
        <v>1</v>
      </c>
      <c r="C3">
        <v>0</v>
      </c>
      <c r="D3" s="1">
        <v>0</v>
      </c>
      <c r="E3" s="1">
        <v>0</v>
      </c>
    </row>
    <row r="4" spans="1:5">
      <c r="A4" t="s">
        <v>5</v>
      </c>
      <c r="B4">
        <v>0</v>
      </c>
      <c r="C4" s="1">
        <v>3</v>
      </c>
      <c r="D4" s="1">
        <v>15</v>
      </c>
      <c r="E4">
        <v>12</v>
      </c>
    </row>
    <row r="5" spans="1:5">
      <c r="A5" t="s">
        <v>6</v>
      </c>
      <c r="B5" s="1">
        <v>0</v>
      </c>
      <c r="C5" s="1">
        <v>0</v>
      </c>
      <c r="D5" s="1">
        <v>0</v>
      </c>
      <c r="E5" s="1">
        <v>0</v>
      </c>
    </row>
    <row r="6" spans="1:5">
      <c r="A6" t="s">
        <v>7</v>
      </c>
      <c r="B6">
        <v>1</v>
      </c>
      <c r="C6" s="1">
        <v>3</v>
      </c>
      <c r="D6" s="1">
        <v>53</v>
      </c>
      <c r="E6" s="1">
        <v>27</v>
      </c>
    </row>
    <row r="7" spans="1:5">
      <c r="A7" t="s">
        <v>8</v>
      </c>
      <c r="B7" s="1">
        <v>11</v>
      </c>
      <c r="C7" s="1">
        <v>7</v>
      </c>
      <c r="D7" s="1">
        <v>11</v>
      </c>
      <c r="E7" s="1">
        <v>7</v>
      </c>
    </row>
    <row r="8" spans="1:5">
      <c r="A8" t="s">
        <v>9</v>
      </c>
      <c r="B8">
        <v>0</v>
      </c>
      <c r="C8" s="1">
        <v>0</v>
      </c>
      <c r="D8" s="1">
        <v>2</v>
      </c>
      <c r="E8" s="1">
        <v>1</v>
      </c>
    </row>
    <row r="9" spans="1:5">
      <c r="A9" t="s">
        <v>10</v>
      </c>
      <c r="B9" s="1">
        <v>11</v>
      </c>
      <c r="C9" s="1">
        <v>1</v>
      </c>
      <c r="D9" s="1">
        <v>11</v>
      </c>
      <c r="E9" s="1">
        <v>7</v>
      </c>
    </row>
    <row r="10" spans="1:5">
      <c r="A10" t="s">
        <v>18</v>
      </c>
      <c r="B10">
        <v>0</v>
      </c>
      <c r="C10" s="1">
        <v>5</v>
      </c>
      <c r="D10" s="1">
        <v>8</v>
      </c>
      <c r="E10" s="1">
        <v>1</v>
      </c>
    </row>
    <row r="11" spans="1:5">
      <c r="A11" t="s">
        <v>19</v>
      </c>
      <c r="B11" s="1">
        <v>13</v>
      </c>
      <c r="C11" s="1">
        <v>3</v>
      </c>
      <c r="D11" s="1">
        <v>26</v>
      </c>
      <c r="E11" s="1">
        <v>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21736-EF09-A145-A2C7-150A4321FCE4}">
  <dimension ref="A2:E4"/>
  <sheetViews>
    <sheetView workbookViewId="0">
      <selection activeCell="A2" sqref="A2:E4"/>
    </sheetView>
  </sheetViews>
  <sheetFormatPr defaultColWidth="11.5546875" defaultRowHeight="19.5"/>
  <sheetData>
    <row r="2" spans="1: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</row>
    <row r="3" spans="1:5">
      <c r="A3" s="2" t="s">
        <v>16</v>
      </c>
      <c r="B3" s="2">
        <f>AVERAGE(Sheet1!B3:B9)</f>
        <v>3.4285714285714284</v>
      </c>
      <c r="C3" s="2">
        <f>AVERAGE(Sheet1!C3:C9)</f>
        <v>2</v>
      </c>
      <c r="D3" s="2">
        <f>AVERAGE(Sheet1!D3:D9)</f>
        <v>13.142857142857142</v>
      </c>
      <c r="E3" s="2">
        <f>AVERAGE(Sheet1!E3:E9)</f>
        <v>7.7142857142857144</v>
      </c>
    </row>
    <row r="4" spans="1:5">
      <c r="A4" s="2" t="s">
        <v>17</v>
      </c>
      <c r="B4" s="2">
        <f>_xlfn.STDEV.S(Sheet1!B3:B9)/SQRT(COUNT(Sheet1!B3:B9))</f>
        <v>1.9622283598130013</v>
      </c>
      <c r="C4" s="2">
        <f>_xlfn.STDEV.S(Sheet1!C3:C9)/SQRT(COUNT(Sheet1!C3:C9))</f>
        <v>0.97590007294853309</v>
      </c>
      <c r="D4" s="2">
        <f>_xlfn.STDEV.S(Sheet1!D3:D9)/SQRT(COUNT(Sheet1!D3:D9))</f>
        <v>7.0218318442540033</v>
      </c>
      <c r="E4" s="2">
        <f>_xlfn.STDEV.S(Sheet1!E3:E9)/SQRT(COUNT(Sheet1!E3:E9))</f>
        <v>3.6365491603879585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admini</cp:lastModifiedBy>
  <dcterms:created xsi:type="dcterms:W3CDTF">2021-01-18T06:47:26Z</dcterms:created>
  <dcterms:modified xsi:type="dcterms:W3CDTF">2021-01-20T08:55:36Z</dcterms:modified>
</cp:coreProperties>
</file>