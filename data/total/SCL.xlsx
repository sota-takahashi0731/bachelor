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ta/Desktop/解析/data/total/"/>
    </mc:Choice>
  </mc:AlternateContent>
  <xr:revisionPtr revIDLastSave="0" documentId="13_ncr:1_{EF7691E9-80F0-3849-B90F-207F0CDA71C3}" xr6:coauthVersionLast="46" xr6:coauthVersionMax="46" xr10:uidLastSave="{00000000-0000-0000-0000-000000000000}"/>
  <bookViews>
    <workbookView xWindow="-21700" yWindow="2120" windowWidth="18680" windowHeight="14660" activeTab="1" xr2:uid="{DD9A9D64-83E5-B841-BB35-98D1A6EDD9E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C4" i="2"/>
  <c r="D4" i="2"/>
  <c r="E4" i="2"/>
  <c r="C3" i="2"/>
  <c r="D3" i="2"/>
  <c r="E3" i="2"/>
</calcChain>
</file>

<file path=xl/sharedStrings.xml><?xml version="1.0" encoding="utf-8"?>
<sst xmlns="http://schemas.openxmlformats.org/spreadsheetml/2006/main" count="24" uniqueCount="20">
  <si>
    <t>a1</t>
    <phoneticPr fontId="2"/>
  </si>
  <si>
    <t>a2</t>
    <phoneticPr fontId="2"/>
  </si>
  <si>
    <t>b1</t>
    <phoneticPr fontId="2"/>
  </si>
  <si>
    <t>b2</t>
    <phoneticPr fontId="2"/>
  </si>
  <si>
    <t>E</t>
    <phoneticPr fontId="2"/>
  </si>
  <si>
    <t>F</t>
    <phoneticPr fontId="2"/>
  </si>
  <si>
    <t>G</t>
    <phoneticPr fontId="2"/>
  </si>
  <si>
    <t>H</t>
    <phoneticPr fontId="2"/>
  </si>
  <si>
    <t>I</t>
    <phoneticPr fontId="2"/>
  </si>
  <si>
    <t>task</t>
  </si>
  <si>
    <t>average</t>
  </si>
  <si>
    <t>SE</t>
  </si>
  <si>
    <t>J</t>
    <phoneticPr fontId="2"/>
  </si>
  <si>
    <t>K</t>
    <phoneticPr fontId="2"/>
  </si>
  <si>
    <t>base</t>
    <phoneticPr fontId="2"/>
  </si>
  <si>
    <t>認知</t>
    <rPh sb="0" eb="2">
      <t>ニンティ</t>
    </rPh>
    <phoneticPr fontId="2"/>
  </si>
  <si>
    <t>情動</t>
    <rPh sb="0" eb="2">
      <t>ジョウ</t>
    </rPh>
    <phoneticPr fontId="2"/>
  </si>
  <si>
    <t>認知×情動</t>
    <rPh sb="0" eb="2">
      <t>ニンティ</t>
    </rPh>
    <rPh sb="3" eb="5">
      <t>ジョウドウ</t>
    </rPh>
    <phoneticPr fontId="2"/>
  </si>
  <si>
    <t>L</t>
    <phoneticPr fontId="2"/>
  </si>
  <si>
    <t>M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</si>
</sst>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0"/>
      <color rgb="FF000000"/>
      <name val="Hiragino Kaku Gothic ProN"/>
      <family val="2"/>
    </font>
    <font>
      <sz val="6"/>
      <name val="游ゴシック"/>
      <family val="2"/>
      <charset val="128"/>
      <scheme val="minor"/>
    </font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2" fontId="1" fillId="0" borderId="0" xfId="0" applyNumberFormat="1" applyFont="1">
      <alignment vertical="center"/>
    </xf>
    <xf numFmtId="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SCL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Sheet2!$B$2:$E$2</c:f>
              <c:strCache>
                <c:ptCount val="4"/>
                <c:pt idx="0">
                  <c:v>base</c:v>
                </c:pt>
                <c:pt idx="1">
                  <c:v>認知</c:v>
                </c:pt>
                <c:pt idx="2">
                  <c:v>情動</c:v>
                </c:pt>
                <c:pt idx="3">
                  <c:v>認知×情動</c:v>
                </c:pt>
              </c:strCache>
            </c:strRef>
          </c:cat>
          <c:val>
            <c:numRef>
              <c:f>Sheet2!$B$3:$E$3</c:f>
              <c:numCache>
                <c:formatCode>General</c:formatCode>
                <c:ptCount val="4"/>
                <c:pt idx="0">
                  <c:v>0.44042535693275447</c:v>
                </c:pt>
                <c:pt idx="1">
                  <c:v>0.46790142125082712</c:v>
                </c:pt>
                <c:pt idx="2">
                  <c:v>0.77334977599822385</c:v>
                </c:pt>
                <c:pt idx="3">
                  <c:v>0.7571392933193668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3-0244-B0B7-2DA6DCBCB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0539472"/>
        <c:axId val="1090541120"/>
      </c:barChart>
      <c:catAx>
        <c:axId val="109053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90541120"/>
        <c:crosses val="autoZero"/>
        <c:auto val="1"/>
        <c:lblAlgn val="ctr"/>
        <c:lblOffset val="100"/>
        <c:noMultiLvlLbl val="0"/>
      </c:catAx>
      <c:valAx>
        <c:axId val="109054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9053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41275</xdr:colOff>
      <xdr:row>4</xdr:row>
      <xdr:rowOff>57150</xdr:rowOff>
    </xdr:from>
    <xdr:to>
      <xdr:col>10</xdr:col>
      <xdr:colOff>841375</xdr:colOff>
      <xdr:row>15</xdr:row>
      <xdr:rowOff>6350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6449ACC-FF2B-AD4C-A2A6-866D12AD6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7AA4-7052-E745-BB3F-B865BB711CEA}">
  <dimension ref="A1:E11"/>
  <sheetViews>
    <sheetView workbookViewId="0">
      <selection activeCell="B3" sqref="B3:E11"/>
    </sheetView>
  </sheetViews>
  <sheetFormatPr baseColWidth="10" defaultColWidth="11.5703125" defaultRowHeight="20"/>
  <sheetData>
    <row r="1" spans="1:5">
      <c r="B1" t="s">
        <v>0</v>
      </c>
      <c r="C1" t="s">
        <v>0</v>
      </c>
      <c r="D1" t="s">
        <v>1</v>
      </c>
      <c r="E1" t="s">
        <v>1</v>
      </c>
    </row>
    <row r="2" spans="1:5">
      <c r="B2" t="s">
        <v>2</v>
      </c>
      <c r="C2" t="s">
        <v>3</v>
      </c>
      <c r="D2" t="s">
        <v>2</v>
      </c>
      <c r="E2" t="s">
        <v>3</v>
      </c>
    </row>
    <row r="3" spans="1:5">
      <c r="A3" t="s">
        <v>4</v>
      </c>
      <c r="B3" s="2">
        <v>0.189134991666666</v>
      </c>
      <c r="C3" s="3">
        <v>0.20758258198924801</v>
      </c>
      <c r="D3" s="2">
        <v>0.196997453367876</v>
      </c>
      <c r="E3" s="2">
        <v>0.20800072301136399</v>
      </c>
    </row>
    <row r="4" spans="1:5">
      <c r="A4" t="s">
        <v>5</v>
      </c>
      <c r="B4" s="3">
        <v>8.4487289156626705E-2</v>
      </c>
      <c r="C4" s="2">
        <v>0.45057072261904801</v>
      </c>
      <c r="D4" s="2">
        <v>0.26831754243542399</v>
      </c>
      <c r="E4" s="3">
        <v>0.41913643685566998</v>
      </c>
    </row>
    <row r="5" spans="1:5">
      <c r="A5" t="s">
        <v>6</v>
      </c>
      <c r="B5" s="2">
        <v>0.143465974137931</v>
      </c>
      <c r="C5" s="2">
        <v>0.30713373684210299</v>
      </c>
      <c r="D5" s="2">
        <v>0.18155013733905601</v>
      </c>
      <c r="E5" s="2">
        <v>0.213891683574879</v>
      </c>
    </row>
    <row r="6" spans="1:5">
      <c r="A6" t="s">
        <v>7</v>
      </c>
      <c r="B6" s="3">
        <v>0.109037446557971</v>
      </c>
      <c r="C6" s="2">
        <v>0.227022249011858</v>
      </c>
      <c r="D6" s="2">
        <v>2.5331665860805899</v>
      </c>
      <c r="E6" s="2">
        <v>1.99209347133027</v>
      </c>
    </row>
    <row r="7" spans="1:5">
      <c r="A7" t="s">
        <v>8</v>
      </c>
      <c r="B7" s="2">
        <v>0.72214526415094304</v>
      </c>
      <c r="C7" s="2">
        <v>0.79682126388889096</v>
      </c>
      <c r="D7" s="2">
        <v>0.75909012250000196</v>
      </c>
      <c r="E7" s="2">
        <v>0.81997546296296497</v>
      </c>
    </row>
    <row r="8" spans="1:5">
      <c r="A8" t="s">
        <v>12</v>
      </c>
      <c r="B8" s="2">
        <v>0.127241661848014</v>
      </c>
      <c r="C8" s="2">
        <v>0.12640107545221199</v>
      </c>
      <c r="D8" s="2">
        <v>0.15003173833149999</v>
      </c>
      <c r="E8" s="2">
        <v>0.22398148917685001</v>
      </c>
    </row>
    <row r="9" spans="1:5">
      <c r="A9" t="s">
        <v>13</v>
      </c>
      <c r="B9" s="2">
        <v>1.70746487101113</v>
      </c>
      <c r="C9" s="2">
        <v>1.15977831895243</v>
      </c>
      <c r="D9" s="2">
        <v>1.3242948519331199</v>
      </c>
      <c r="E9" s="2">
        <v>1.4228957863235701</v>
      </c>
    </row>
    <row r="10" spans="1:5">
      <c r="A10" t="s">
        <v>18</v>
      </c>
      <c r="B10" s="3">
        <v>0.39104827583982299</v>
      </c>
      <c r="C10" s="3">
        <v>0.70357593857107503</v>
      </c>
      <c r="D10" s="3">
        <v>0.74388176947669504</v>
      </c>
      <c r="E10" s="3">
        <v>0.33677860725108499</v>
      </c>
    </row>
    <row r="11" spans="1:5">
      <c r="A11" t="s">
        <v>19</v>
      </c>
      <c r="B11" s="3">
        <v>1.70746487101112</v>
      </c>
      <c r="C11" s="3">
        <v>1.15977831895243</v>
      </c>
      <c r="D11" s="3">
        <v>1.3242948519331199</v>
      </c>
      <c r="E11" s="3">
        <v>1.4228957863235601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7699F-E74A-BE49-9990-B4E2D5C54A8E}">
  <dimension ref="A2:E4"/>
  <sheetViews>
    <sheetView tabSelected="1" workbookViewId="0">
      <selection activeCell="B4" sqref="B4"/>
    </sheetView>
  </sheetViews>
  <sheetFormatPr baseColWidth="10" defaultColWidth="11.5703125" defaultRowHeight="20"/>
  <sheetData>
    <row r="2" spans="1:5">
      <c r="A2" s="1" t="s">
        <v>9</v>
      </c>
      <c r="B2" s="1" t="s">
        <v>14</v>
      </c>
      <c r="C2" s="1" t="s">
        <v>15</v>
      </c>
      <c r="D2" s="1" t="s">
        <v>16</v>
      </c>
      <c r="E2" s="1" t="s">
        <v>17</v>
      </c>
    </row>
    <row r="3" spans="1:5">
      <c r="A3" s="1" t="s">
        <v>10</v>
      </c>
      <c r="B3" s="1">
        <f>AVERAGE(Sheet1!B3:B9)</f>
        <v>0.44042535693275447</v>
      </c>
      <c r="C3" s="1">
        <f>AVERAGE(Sheet1!C3:C9)</f>
        <v>0.46790142125082712</v>
      </c>
      <c r="D3" s="1">
        <f>AVERAGE(Sheet1!D3:D9)</f>
        <v>0.77334977599822385</v>
      </c>
      <c r="E3" s="1">
        <f>AVERAGE(Sheet1!E3:E9)</f>
        <v>0.7571392933193668</v>
      </c>
    </row>
    <row r="4" spans="1:5">
      <c r="A4" s="1" t="s">
        <v>11</v>
      </c>
      <c r="B4" s="1">
        <f>_xlfn.STDEV.S(Sheet1!B3:B9)/SQRT(COUNT(Sheet1!B3:B9))</f>
        <v>0.22733868384114111</v>
      </c>
      <c r="C4" s="1">
        <f>_xlfn.STDEV.S(Sheet1!C3:C9)/SQRT(COUNT(Sheet1!C3:C9))</f>
        <v>0.14271513966748853</v>
      </c>
      <c r="D4" s="1">
        <f>_xlfn.STDEV.S(Sheet1!D3:D9)/SQRT(COUNT(Sheet1!D3:D9))</f>
        <v>0.33547020180635712</v>
      </c>
      <c r="E4" s="1">
        <f>_xlfn.STDEV.S(Sheet1!E3:E9)/SQRT(COUNT(Sheet1!E3:E9))</f>
        <v>0.2658081219856242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2021-01-15T08:38:39Z</dcterms:created>
  <dcterms:modified xsi:type="dcterms:W3CDTF">2021-02-16T08:16:34Z</dcterms:modified>
</cp:coreProperties>
</file>