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log\total\"/>
    </mc:Choice>
  </mc:AlternateContent>
  <xr:revisionPtr revIDLastSave="0" documentId="13_ncr:1_{F8A1094A-D540-45F1-B7D4-7BB8F122D7E7}" xr6:coauthVersionLast="36" xr6:coauthVersionMax="46" xr10:uidLastSave="{00000000-0000-0000-0000-000000000000}"/>
  <bookViews>
    <workbookView xWindow="2925" yWindow="540" windowWidth="10005" windowHeight="7905" xr2:uid="{3B6A119D-7E05-4C1C-9523-5B0B131915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D4" i="2"/>
  <c r="E4" i="2"/>
  <c r="B4" i="2"/>
  <c r="C3" i="2"/>
  <c r="D3" i="2"/>
  <c r="E3" i="2"/>
  <c r="B3" i="2"/>
</calcChain>
</file>

<file path=xl/sharedStrings.xml><?xml version="1.0" encoding="utf-8"?>
<sst xmlns="http://schemas.openxmlformats.org/spreadsheetml/2006/main" count="24" uniqueCount="20">
  <si>
    <t>E</t>
    <phoneticPr fontId="1"/>
  </si>
  <si>
    <t>F</t>
    <phoneticPr fontId="1"/>
  </si>
  <si>
    <t>a1</t>
    <phoneticPr fontId="1"/>
  </si>
  <si>
    <t>a2</t>
    <phoneticPr fontId="1"/>
  </si>
  <si>
    <t>b2</t>
    <phoneticPr fontId="1"/>
  </si>
  <si>
    <t>b1</t>
    <phoneticPr fontId="1"/>
  </si>
  <si>
    <t>G</t>
    <phoneticPr fontId="1"/>
  </si>
  <si>
    <t>H</t>
    <phoneticPr fontId="1"/>
  </si>
  <si>
    <t>I</t>
    <phoneticPr fontId="1"/>
  </si>
  <si>
    <t>task</t>
    <phoneticPr fontId="1"/>
  </si>
  <si>
    <t>average</t>
    <phoneticPr fontId="1"/>
  </si>
  <si>
    <t>SE</t>
    <phoneticPr fontId="1"/>
  </si>
  <si>
    <t>base</t>
    <phoneticPr fontId="1"/>
  </si>
  <si>
    <t>TP</t>
    <phoneticPr fontId="1"/>
  </si>
  <si>
    <t>情動喚起あり</t>
    <rPh sb="0" eb="2">
      <t>ジョウドウ</t>
    </rPh>
    <rPh sb="2" eb="4">
      <t>カンキ</t>
    </rPh>
    <phoneticPr fontId="1"/>
  </si>
  <si>
    <t>TP×情動喚起あり</t>
    <phoneticPr fontId="1"/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</si>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</sst>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正答率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Sheet2!$B$2:$E$2</c:f>
              <c:strCache>
                <c:ptCount val="4"/>
                <c:pt idx="0">
                  <c:v>base</c:v>
                </c:pt>
                <c:pt idx="1">
                  <c:v>TP</c:v>
                </c:pt>
                <c:pt idx="2">
                  <c:v>情動喚起あり</c:v>
                </c:pt>
                <c:pt idx="3">
                  <c:v>TP×情動喚起あり</c:v>
                </c:pt>
              </c:strCache>
            </c:strRef>
          </c:cat>
          <c:val>
            <c:numRef>
              <c:f>Sheet2!$B$3:$E$3</c:f>
              <c:numCache>
                <c:formatCode>General</c:formatCode>
                <c:ptCount val="4"/>
                <c:pt idx="0">
                  <c:v>0.72291666666666643</c:v>
                </c:pt>
                <c:pt idx="1">
                  <c:v>0.68660252067924676</c:v>
                </c:pt>
                <c:pt idx="2">
                  <c:v>0.66195175438596454</c:v>
                </c:pt>
                <c:pt idx="3">
                  <c:v>0.62094525755385099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0-4C01-B53B-0DF8477F2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606143"/>
        <c:axId val="1302737023"/>
      </c:barChart>
      <c:catAx>
        <c:axId val="1116606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タスク条件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2737023"/>
        <c:crosses val="autoZero"/>
        <c:auto val="1"/>
        <c:lblAlgn val="ctr"/>
        <c:lblOffset val="100"/>
        <c:noMultiLvlLbl val="0"/>
      </c:catAx>
      <c:valAx>
        <c:axId val="1302737023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660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185737</xdr:colOff>
      <xdr:row>5</xdr:row>
      <xdr:rowOff>233362</xdr:rowOff>
    </xdr:from>
    <xdr:to>
      <xdr:col>7</xdr:col>
      <xdr:colOff>642937</xdr:colOff>
      <xdr:row>17</xdr:row>
      <xdr:rowOff>119062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CCBC365-2949-4BCA-BB81-2B3F91C4D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E72B-F0D1-4974-ADEE-2FEFDBF2E28C}">
  <dimension ref="A1:E11"/>
  <sheetViews>
    <sheetView tabSelected="1" workbookViewId="0">
      <selection activeCell="B11" sqref="B11:E11"/>
    </sheetView>
  </sheetViews>
  <sheetFormatPr defaultColWidth="8.875" defaultRowHeight="18.75"/>
  <sheetData>
    <row r="1" spans="1:5">
      <c r="B1" t="s">
        <v>2</v>
      </c>
      <c r="C1" t="s">
        <v>2</v>
      </c>
      <c r="D1" t="s">
        <v>3</v>
      </c>
      <c r="E1" t="s">
        <v>3</v>
      </c>
    </row>
    <row r="2" spans="1:5">
      <c r="B2" t="s">
        <v>5</v>
      </c>
      <c r="C2" t="s">
        <v>4</v>
      </c>
      <c r="D2" t="s">
        <v>5</v>
      </c>
      <c r="E2" t="s">
        <v>4</v>
      </c>
    </row>
    <row r="3" spans="1:5">
      <c r="A3" t="s">
        <v>0</v>
      </c>
      <c r="B3">
        <v>0.70833333333333304</v>
      </c>
      <c r="C3">
        <v>0.64705882352941102</v>
      </c>
      <c r="D3">
        <v>0.72916666666666596</v>
      </c>
      <c r="E3">
        <v>0.609375</v>
      </c>
    </row>
    <row r="4" spans="1:5">
      <c r="A4" t="s">
        <v>1</v>
      </c>
      <c r="B4">
        <v>0.80208333333333304</v>
      </c>
      <c r="C4">
        <v>0.76811594202898503</v>
      </c>
      <c r="D4">
        <v>0.73684210526315697</v>
      </c>
      <c r="E4">
        <v>0.78461538461538405</v>
      </c>
    </row>
    <row r="5" spans="1:5">
      <c r="A5" t="s">
        <v>6</v>
      </c>
      <c r="B5">
        <v>0.58333333333333304</v>
      </c>
      <c r="C5">
        <v>0.67567567567567599</v>
      </c>
      <c r="D5">
        <v>0.5625</v>
      </c>
      <c r="E5">
        <v>0.5</v>
      </c>
    </row>
    <row r="6" spans="1:5">
      <c r="A6" t="s">
        <v>7</v>
      </c>
      <c r="B6" s="1">
        <v>0.75</v>
      </c>
      <c r="C6" s="1">
        <v>0.66216216216216195</v>
      </c>
      <c r="D6" s="1">
        <v>0.52083333333333304</v>
      </c>
      <c r="E6" s="1">
        <v>0.662790697674419</v>
      </c>
    </row>
    <row r="7" spans="1:5">
      <c r="A7" t="s">
        <v>8</v>
      </c>
      <c r="B7" s="1">
        <v>0.77083333333333304</v>
      </c>
      <c r="C7" s="1">
        <v>0.68</v>
      </c>
      <c r="D7" s="1">
        <v>0.76041666666666696</v>
      </c>
      <c r="E7" s="1">
        <v>0.54794520547945202</v>
      </c>
    </row>
    <row r="8" spans="1:5">
      <c r="A8" t="s">
        <v>16</v>
      </c>
      <c r="B8">
        <v>0.77083333333333304</v>
      </c>
      <c r="C8">
        <v>0.759493670886076</v>
      </c>
      <c r="D8">
        <v>0.73958333333333304</v>
      </c>
      <c r="E8">
        <v>0.77777777777777701</v>
      </c>
    </row>
    <row r="9" spans="1:5">
      <c r="A9" t="s">
        <v>17</v>
      </c>
      <c r="B9">
        <v>0.77083333333333304</v>
      </c>
      <c r="C9">
        <v>0.82191780821917804</v>
      </c>
      <c r="D9">
        <v>0.82291666666666596</v>
      </c>
      <c r="E9">
        <v>0.75</v>
      </c>
    </row>
    <row r="10" spans="1:5">
      <c r="A10" t="s">
        <v>18</v>
      </c>
      <c r="B10">
        <v>0.83333333333333304</v>
      </c>
      <c r="C10">
        <v>0.68</v>
      </c>
      <c r="D10">
        <v>0.75789473684210495</v>
      </c>
      <c r="E10">
        <v>0.784810126582278</v>
      </c>
    </row>
    <row r="11" spans="1:5">
      <c r="A11" t="s">
        <v>19</v>
      </c>
      <c r="B11">
        <v>0.78125</v>
      </c>
      <c r="C11">
        <v>0.76470588235294101</v>
      </c>
      <c r="D11">
        <v>0.77083333333333304</v>
      </c>
      <c r="E11">
        <v>0.72058823529411697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6834-6814-45AC-845E-3F1B0B62EF03}">
  <dimension ref="A2:E4"/>
  <sheetViews>
    <sheetView workbookViewId="0">
      <selection activeCell="A2" sqref="A2:E2"/>
    </sheetView>
  </sheetViews>
  <sheetFormatPr defaultRowHeight="18.75"/>
  <sheetData>
    <row r="2" spans="1:5">
      <c r="A2" t="s">
        <v>9</v>
      </c>
      <c r="B2" t="s">
        <v>12</v>
      </c>
      <c r="C2" t="s">
        <v>13</v>
      </c>
      <c r="D2" t="s">
        <v>14</v>
      </c>
      <c r="E2" t="s">
        <v>15</v>
      </c>
    </row>
    <row r="3" spans="1:5">
      <c r="A3" t="s">
        <v>10</v>
      </c>
      <c r="B3">
        <f>AVERAGE(Sheet1!B3:B7)</f>
        <v>0.72291666666666643</v>
      </c>
      <c r="C3">
        <f>AVERAGE(Sheet1!C3:C7)</f>
        <v>0.68660252067924676</v>
      </c>
      <c r="D3">
        <f>AVERAGE(Sheet1!D3:D7)</f>
        <v>0.66195175438596454</v>
      </c>
      <c r="E3">
        <f>AVERAGE(Sheet1!E3:E7)</f>
        <v>0.62094525755385099</v>
      </c>
    </row>
    <row r="4" spans="1:5">
      <c r="A4" t="s">
        <v>11</v>
      </c>
      <c r="B4">
        <f>_xlfn.STDEV.S(Sheet1!B3:B7)/SQRT(COUNT(Sheet1!B3:B7))</f>
        <v>3.80743060052025E-2</v>
      </c>
      <c r="C4">
        <f>_xlfn.STDEV.S(Sheet1!C3:C7)/SQRT(COUNT(Sheet1!C3:C7))</f>
        <v>2.1176003152050996E-2</v>
      </c>
      <c r="D4">
        <f>_xlfn.STDEV.S(Sheet1!D3:D7)/SQRT(COUNT(Sheet1!D3:D7))</f>
        <v>4.9813054638664929E-2</v>
      </c>
      <c r="E4">
        <f>_xlfn.STDEV.S(Sheet1!E3:E7)/SQRT(COUNT(Sheet1!E3:E7))</f>
        <v>4.9310032011101602E-2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2020-12-11T07:31:36Z</dcterms:created>
  <dcterms:modified xsi:type="dcterms:W3CDTF">2021-01-20T08:33:59Z</dcterms:modified>
</cp:coreProperties>
</file>